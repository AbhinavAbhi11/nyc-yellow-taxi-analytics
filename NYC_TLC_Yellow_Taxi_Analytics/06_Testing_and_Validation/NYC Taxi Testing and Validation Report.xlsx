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est Summary" sheetId="2" state="visible" r:id="rId2"/>
    <sheet xmlns:r="http://schemas.openxmlformats.org/officeDocument/2006/relationships" name="Test Cases" sheetId="3" state="visible" r:id="rId3"/>
    <sheet xmlns:r="http://schemas.openxmlformats.org/officeDocument/2006/relationships" name="Evidence Log" sheetId="4" state="visible" r:id="rId4"/>
    <sheet xmlns:r="http://schemas.openxmlformats.org/officeDocument/2006/relationships" name="Data Reconciliation" sheetId="5" state="visible" r:id="rId5"/>
  </sheets>
  <definedNames>
    <definedName name="_xlnm._FilterDatabase" localSheetId="2" hidden="1">'Test Cases'!$A$4:$G$26</definedName>
    <definedName name="_xlnm._FilterDatabase" localSheetId="3" hidden="1">'Evidence Log'!$A$4:$E$14</definedName>
  </definedNames>
  <calcPr calcId="124519" fullCalcOnLoad="1"/>
</workbook>
</file>

<file path=xl/styles.xml><?xml version="1.0" encoding="utf-8"?>
<styleSheet xmlns="http://schemas.openxmlformats.org/spreadsheetml/2006/main">
  <numFmts count="1">
    <numFmt numFmtId="164" formatCode="#,##0;[Red](#,##0);-"/>
  </numFmts>
  <fonts count="17">
    <font>
      <name val="Calibri"/>
      <family val="2"/>
      <color theme="1"/>
      <sz val="11"/>
      <scheme val="minor"/>
    </font>
    <font>
      <name val="Aptos Display"/>
      <b val="1"/>
      <color rgb="00FFFFFF"/>
      <sz val="18"/>
    </font>
    <font>
      <name val="Aptos"/>
      <i val="1"/>
      <color rgb="00667085"/>
      <sz val="10"/>
    </font>
    <font>
      <name val="Aptos"/>
      <b val="1"/>
      <color rgb="00142B4A"/>
      <sz val="10"/>
    </font>
    <font>
      <name val="Aptos"/>
      <color rgb="00243247"/>
      <sz val="10"/>
    </font>
    <font>
      <name val="Aptos"/>
      <b val="1"/>
      <color rgb="00142B4A"/>
    </font>
    <font>
      <b val="1"/>
      <color rgb="00FFFFFF"/>
    </font>
    <font>
      <b val="1"/>
      <color rgb="00142B4A"/>
    </font>
    <font>
      <name val="Aptos"/>
      <b val="1"/>
      <color rgb="00FFFFFF"/>
      <sz val="10"/>
    </font>
    <font>
      <i val="1"/>
      <color rgb="00142B4A"/>
    </font>
    <font>
      <name val="Aptos"/>
      <i val="1"/>
      <color rgb="00627386"/>
      <sz val="10"/>
    </font>
    <font>
      <name val="Aptos"/>
      <color rgb="00243447"/>
      <sz val="10"/>
    </font>
    <font>
      <name val="Aptos"/>
      <b val="1"/>
      <color rgb="001F4E78"/>
      <sz val="10"/>
    </font>
    <font>
      <name val="Aptos"/>
      <b val="1"/>
      <color rgb="00375623"/>
      <sz val="10"/>
    </font>
    <font>
      <name val="Aptos"/>
      <b val="1"/>
      <color rgb="0060497A"/>
      <sz val="10"/>
    </font>
    <font>
      <name val="Aptos"/>
      <b val="1"/>
      <color rgb="007F6000"/>
      <sz val="10"/>
    </font>
    <font>
      <name val="Aptos"/>
      <b val="1"/>
      <color rgb="0017365D"/>
      <sz val="10"/>
    </font>
  </fonts>
  <fills count="15">
    <fill>
      <patternFill/>
    </fill>
    <fill>
      <patternFill patternType="gray125"/>
    </fill>
    <fill>
      <patternFill patternType="solid">
        <fgColor rgb="00142B4A"/>
      </patternFill>
    </fill>
    <fill>
      <patternFill patternType="solid">
        <fgColor rgb="00EAF0F7"/>
      </patternFill>
    </fill>
    <fill>
      <patternFill patternType="solid">
        <fgColor rgb="00F8FAFC"/>
      </patternFill>
    </fill>
    <fill>
      <patternFill patternType="solid">
        <fgColor rgb="00E2F0D9"/>
      </patternFill>
    </fill>
    <fill>
      <patternFill patternType="solid">
        <fgColor rgb="00FFF2CC"/>
      </patternFill>
    </fill>
    <fill>
      <patternFill patternType="solid">
        <fgColor rgb="00FCE4D6"/>
      </patternFill>
    </fill>
    <fill>
      <patternFill patternType="solid">
        <fgColor rgb="00DDF4F2"/>
      </patternFill>
    </fill>
    <fill>
      <patternFill patternType="solid">
        <fgColor rgb="0017365D"/>
      </patternFill>
    </fill>
    <fill>
      <patternFill patternType="solid">
        <fgColor rgb="00EAF0F6"/>
      </patternFill>
    </fill>
    <fill>
      <patternFill patternType="solid">
        <fgColor rgb="00F3F6F9"/>
      </patternFill>
    </fill>
    <fill>
      <patternFill patternType="solid">
        <fgColor rgb="001F4E78"/>
      </patternFill>
    </fill>
    <fill>
      <patternFill patternType="solid">
        <fgColor rgb="00D9EAF7"/>
      </patternFill>
    </fill>
    <fill>
      <patternFill patternType="solid">
        <fgColor rgb="00E4DFEC"/>
      </patternFill>
    </fill>
  </fills>
  <borders count="8">
    <border>
      <left/>
      <right/>
      <top/>
      <bottom/>
      <diagonal/>
    </border>
    <border>
      <bottom style="thin">
        <color rgb="00D7E0EA"/>
      </bottom>
    </border>
    <border>
      <bottom style="medium">
        <color rgb="00142B4A"/>
      </bottom>
    </border>
    <border>
      <top style="medium">
        <color rgb="00142B4A"/>
      </top>
    </border>
    <border>
      <left/>
      <right/>
      <top style="medium">
        <color rgb="00142B4A"/>
      </top>
      <bottom/>
      <diagonal/>
    </border>
    <border>
      <left/>
      <right/>
      <top/>
      <bottom style="thin">
        <color rgb="00D7E0EA"/>
      </bottom>
      <diagonal/>
    </border>
    <border>
      <right/>
      <top style="medium">
        <color rgb="00142B4A"/>
      </top>
      <bottom/>
    </border>
    <border>
      <top style="medium">
        <color rgb="001F4E78"/>
      </top>
      <bottom style="medium">
        <color rgb="001F4E78"/>
      </bottom>
    </border>
  </borders>
  <cellStyleXfs count="1">
    <xf numFmtId="0" fontId="0" fillId="0" borderId="0"/>
  </cellStyleXfs>
  <cellXfs count="50">
    <xf numFmtId="0" fontId="0" fillId="0" borderId="0" pivotButton="0" quotePrefix="0" xfId="0"/>
    <xf numFmtId="0" fontId="1" fillId="2" borderId="0" applyAlignment="1" pivotButton="0" quotePrefix="0" xfId="0">
      <alignment vertical="center"/>
    </xf>
    <xf numFmtId="0" fontId="0" fillId="2" borderId="0" pivotButton="0" quotePrefix="0" xfId="0"/>
    <xf numFmtId="0" fontId="2" fillId="0" borderId="0" applyAlignment="1" pivotButton="0" quotePrefix="0" xfId="0">
      <alignment vertical="center" wrapText="1"/>
    </xf>
    <xf numFmtId="0" fontId="3" fillId="3" borderId="1" applyAlignment="1" pivotButton="0" quotePrefix="0" xfId="0">
      <alignment vertical="top" wrapText="1"/>
    </xf>
    <xf numFmtId="0" fontId="4" fillId="0" borderId="1" applyAlignment="1" pivotButton="0" quotePrefix="0" xfId="0">
      <alignment vertical="top" wrapText="1"/>
    </xf>
    <xf numFmtId="0" fontId="0" fillId="0" borderId="1" pivotButton="0" quotePrefix="0" xfId="0"/>
    <xf numFmtId="0" fontId="5" fillId="3" borderId="1" pivotButton="0" quotePrefix="0" xfId="0"/>
    <xf numFmtId="0" fontId="0" fillId="0" borderId="1" applyAlignment="1" pivotButton="0" quotePrefix="0" xfId="0">
      <alignment vertical="top" wrapText="1"/>
    </xf>
    <xf numFmtId="0" fontId="6" fillId="2" borderId="0" pivotButton="0" quotePrefix="0" xfId="0"/>
    <xf numFmtId="0" fontId="7" fillId="0" borderId="0" pivotButton="0" quotePrefix="0" xfId="0"/>
    <xf numFmtId="0" fontId="0" fillId="0" borderId="0" applyAlignment="1" pivotButton="0" quotePrefix="0" xfId="0">
      <alignment wrapText="1"/>
    </xf>
    <xf numFmtId="0" fontId="8" fillId="2" borderId="2" applyAlignment="1" pivotButton="0" quotePrefix="0" xfId="0">
      <alignment vertical="center" wrapText="1"/>
    </xf>
    <xf numFmtId="0" fontId="3" fillId="5" borderId="1" applyAlignment="1" pivotButton="0" quotePrefix="0" xfId="0">
      <alignment vertical="top" wrapText="1"/>
    </xf>
    <xf numFmtId="0" fontId="4" fillId="4"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3" fontId="4" fillId="0" borderId="1" applyAlignment="1" pivotButton="0" quotePrefix="0" xfId="0">
      <alignment vertical="top" wrapText="1"/>
    </xf>
    <xf numFmtId="10" fontId="4" fillId="0" borderId="1" applyAlignment="1" pivotButton="0" quotePrefix="0" xfId="0">
      <alignment vertical="top" wrapText="1"/>
    </xf>
    <xf numFmtId="3" fontId="4" fillId="4" borderId="1" applyAlignment="1" pivotButton="0" quotePrefix="0" xfId="0">
      <alignment vertical="top" wrapText="1"/>
    </xf>
    <xf numFmtId="10" fontId="4" fillId="4" borderId="1" applyAlignment="1" pivotButton="0" quotePrefix="0" xfId="0">
      <alignment vertical="top" wrapText="1"/>
    </xf>
    <xf numFmtId="0" fontId="6" fillId="8" borderId="3" pivotButton="0" quotePrefix="0" xfId="0"/>
    <xf numFmtId="0" fontId="0" fillId="8" borderId="3" pivotButton="0" quotePrefix="0" xfId="0"/>
    <xf numFmtId="3" fontId="7" fillId="8" borderId="3" pivotButton="0" quotePrefix="0" xfId="0"/>
    <xf numFmtId="10" fontId="7" fillId="8" borderId="3" pivotButton="0" quotePrefix="0" xfId="0"/>
    <xf numFmtId="0" fontId="9" fillId="8" borderId="3" pivotButton="0" quotePrefix="0" xfId="0"/>
    <xf numFmtId="0" fontId="0" fillId="0" borderId="4" pivotButton="0" quotePrefix="0" xfId="0"/>
    <xf numFmtId="0" fontId="1" fillId="9" borderId="0" applyAlignment="1" pivotButton="0" quotePrefix="0" xfId="0">
      <alignment horizontal="left" vertical="center" indent="1"/>
    </xf>
    <xf numFmtId="0" fontId="10" fillId="10" borderId="0" applyAlignment="1" pivotButton="0" quotePrefix="0" xfId="0">
      <alignment horizontal="left" vertical="center" wrapText="1" indent="1"/>
    </xf>
    <xf numFmtId="0" fontId="11" fillId="0" borderId="0" applyAlignment="1" pivotButton="0" quotePrefix="0" xfId="0">
      <alignment vertical="top" wrapText="1"/>
    </xf>
    <xf numFmtId="0" fontId="12" fillId="11" borderId="1" applyAlignment="1" pivotButton="0" quotePrefix="0" xfId="0">
      <alignment vertical="top" wrapText="1"/>
    </xf>
    <xf numFmtId="0" fontId="11" fillId="0" borderId="1" applyAlignment="1" pivotButton="0" quotePrefix="0" xfId="0">
      <alignment vertical="top" wrapText="1"/>
    </xf>
    <xf numFmtId="0" fontId="11" fillId="0" borderId="5" applyAlignment="1" pivotButton="0" quotePrefix="0" xfId="0">
      <alignment vertical="top" wrapText="1"/>
    </xf>
    <xf numFmtId="0" fontId="11" fillId="0" borderId="1" applyAlignment="1" pivotButton="0" quotePrefix="0" xfId="0">
      <alignment vertical="center" wrapText="1"/>
    </xf>
    <xf numFmtId="0" fontId="16" fillId="13" borderId="1" applyAlignment="1" pivotButton="0" quotePrefix="0" xfId="0">
      <alignment vertical="top" wrapText="1"/>
    </xf>
    <xf numFmtId="0" fontId="16" fillId="13" borderId="1" applyAlignment="1" pivotButton="0" quotePrefix="0" xfId="0">
      <alignment vertical="center" wrapText="1"/>
    </xf>
    <xf numFmtId="0" fontId="8" fillId="12" borderId="7" applyAlignment="1" pivotButton="0" quotePrefix="0" xfId="0">
      <alignment vertical="center" wrapText="1"/>
    </xf>
    <xf numFmtId="0" fontId="13" fillId="5" borderId="1" applyAlignment="1" pivotButton="0" quotePrefix="0" xfId="0">
      <alignment vertical="top" wrapText="1"/>
    </xf>
    <xf numFmtId="0" fontId="11" fillId="4" borderId="1" applyAlignment="1" pivotButton="0" quotePrefix="0" xfId="0">
      <alignment vertical="top" wrapText="1"/>
    </xf>
    <xf numFmtId="0" fontId="12" fillId="13" borderId="1" applyAlignment="1" pivotButton="0" quotePrefix="0" xfId="0">
      <alignment vertical="top" wrapText="1"/>
    </xf>
    <xf numFmtId="0" fontId="14" fillId="14" borderId="1" applyAlignment="1" pivotButton="0" quotePrefix="0" xfId="0">
      <alignment vertical="top" wrapText="1"/>
    </xf>
    <xf numFmtId="0" fontId="15" fillId="6" borderId="1" applyAlignment="1" pivotButton="0" quotePrefix="0" xfId="0">
      <alignment vertical="top" wrapText="1"/>
    </xf>
    <xf numFmtId="164" fontId="11" fillId="0" borderId="1" applyAlignment="1" pivotButton="0" quotePrefix="0" xfId="0">
      <alignment vertical="top" wrapText="1"/>
    </xf>
    <xf numFmtId="10" fontId="11" fillId="0" borderId="1" applyAlignment="1" pivotButton="0" quotePrefix="0" xfId="0">
      <alignment vertical="top" wrapText="1"/>
    </xf>
    <xf numFmtId="164" fontId="11" fillId="4" borderId="1" applyAlignment="1" pivotButton="0" quotePrefix="0" xfId="0">
      <alignment vertical="top" wrapText="1"/>
    </xf>
    <xf numFmtId="10" fontId="11" fillId="4" borderId="1" applyAlignment="1" pivotButton="0" quotePrefix="0" xfId="0">
      <alignment vertical="top" wrapText="1"/>
    </xf>
    <xf numFmtId="164" fontId="11" fillId="0" borderId="0" applyAlignment="1" pivotButton="0" quotePrefix="0" xfId="0">
      <alignment vertical="top" wrapText="1"/>
    </xf>
    <xf numFmtId="10" fontId="11" fillId="0" borderId="0" applyAlignment="1" pivotButton="0" quotePrefix="0" xfId="0">
      <alignment vertical="top" wrapText="1"/>
    </xf>
    <xf numFmtId="0" fontId="11" fillId="8" borderId="3" applyAlignment="1" pivotButton="0" quotePrefix="0" xfId="0">
      <alignment vertical="top" wrapText="1"/>
    </xf>
    <xf numFmtId="0" fontId="11" fillId="0" borderId="4"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TestCasesTable" displayName="TestCasesTable" ref="A4:G26" headerRowCount="1">
  <autoFilter ref="A4:G26"/>
  <tableColumns count="7">
    <tableColumn id="1" name="Test ID"/>
    <tableColumn id="2" name="Area"/>
    <tableColumn id="3" name="Test / validation objective"/>
    <tableColumn id="4" name="Expected result / acceptance criteria"/>
    <tableColumn id="5" name="Status"/>
    <tableColumn id="6" name="Evidence / source"/>
    <tableColumn id="7" name="Notes / limitation"/>
  </tableColumns>
  <tableStyleInfo name="TableStyleMedium2" showRowStripes="1" showColumnStripes="0"/>
</table>
</file>

<file path=xl/tables/table2.xml><?xml version="1.0" encoding="utf-8"?>
<table xmlns="http://schemas.openxmlformats.org/spreadsheetml/2006/main" id="2" name="EvidenceLogTable" displayName="EvidenceLogTable" ref="A4:E14" headerRowCount="1">
  <autoFilter ref="A4:E14"/>
  <tableColumns count="5">
    <tableColumn id="1" name="Evidence ID"/>
    <tableColumn id="2" name="Evidence type"/>
    <tableColumn id="3" name="Assertion / result supported"/>
    <tableColumn id="4" name="Source / basis"/>
    <tableColumn id="5" name="Confidence boundary"/>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tabColor rgb="00142B4A"/>
    <outlinePr summaryBelow="1" summaryRight="1"/>
    <pageSetUpPr fitToPage="1"/>
  </sheetPr>
  <dimension ref="A1:E13"/>
  <sheetViews>
    <sheetView showGridLines="0" zoomScale="90" workbookViewId="0">
      <pane ySplit="3" topLeftCell="A4" activePane="bottomLeft" state="frozen"/>
      <selection pane="bottomLeft" activeCell="A1" sqref="A1"/>
    </sheetView>
  </sheetViews>
  <sheetFormatPr baseColWidth="8" defaultRowHeight="15"/>
  <cols>
    <col width="27" customWidth="1" min="1" max="1"/>
    <col width="100" customWidth="1" min="2" max="2"/>
    <col width="14" customWidth="1" min="3" max="3"/>
    <col width="14" customWidth="1" min="4" max="4"/>
    <col width="14" customWidth="1" min="5" max="5"/>
  </cols>
  <sheetData>
    <row r="1" ht="34" customHeight="1">
      <c r="A1" s="27" t="inlineStr">
        <is>
          <t>NYC Yellow Taxi Analytics | Testing &amp; Validation</t>
        </is>
      </c>
    </row>
    <row r="2" ht="28" customHeight="1">
      <c r="A2" s="28" t="inlineStr">
        <is>
          <t>February 2026 • MySQL Workbench → Power BI • Validation record and evidence boundaries</t>
        </is>
      </c>
    </row>
    <row r="3">
      <c r="A3" s="29" t="n"/>
      <c r="B3" s="29" t="n"/>
      <c r="C3" s="29" t="n"/>
      <c r="D3" s="29" t="n"/>
      <c r="E3" s="29" t="n"/>
    </row>
    <row r="4" ht="34" customHeight="1">
      <c r="A4" s="30" t="inlineStr">
        <is>
          <t>Purpose</t>
        </is>
      </c>
      <c r="B4" s="31" t="inlineStr">
        <is>
          <t>Track the key data-quality, reconciliation, KPI, and dashboard checks associated with the project.</t>
        </is>
      </c>
      <c r="C4" s="32" t="n"/>
      <c r="D4" s="32" t="n"/>
      <c r="E4" s="32" t="n"/>
    </row>
    <row r="5" ht="44" customHeight="1">
      <c r="A5" s="30" t="inlineStr">
        <is>
          <t>Important evidence note</t>
        </is>
      </c>
      <c r="B5" s="31" t="inlineStr">
        <is>
          <t>This workbook distinguishes results explicitly confirmed by the user from metrics and rules recorded in project documentation. It does not claim that SQL was executed by this workbook or that the Power BI file was independently inspected.</t>
        </is>
      </c>
      <c r="C5" s="32" t="n"/>
      <c r="D5" s="32" t="n"/>
      <c r="E5" s="32" t="n"/>
    </row>
    <row r="6" ht="34" customHeight="1">
      <c r="A6" s="30" t="inlineStr">
        <is>
          <t>Status: Confirmed by user</t>
        </is>
      </c>
      <c r="B6" s="31" t="inlineStr">
        <is>
          <t>The user explicitly confirmed the four pipeline row counts and that a query for February 23 in analytics_yellow_taxi_business returned zero rows.</t>
        </is>
      </c>
      <c r="C6" s="32" t="n"/>
      <c r="D6" s="32" t="n"/>
      <c r="E6" s="32" t="n"/>
    </row>
    <row r="7" ht="34" customHeight="1">
      <c r="A7" s="30" t="inlineStr">
        <is>
          <t>Status: Documented</t>
        </is>
      </c>
      <c r="B7" s="31" t="inlineStr">
        <is>
          <t>The value or rule appears in the project's documented results, but independent re-execution or source-file inspection is not represented here.</t>
        </is>
      </c>
      <c r="C7" s="32" t="n"/>
      <c r="D7" s="32" t="n"/>
      <c r="E7" s="32" t="n"/>
    </row>
    <row r="8" ht="34" customHeight="1">
      <c r="A8" s="30" t="inlineStr">
        <is>
          <t>Status: Pending verification</t>
        </is>
      </c>
      <c r="B8" s="31" t="inlineStr">
        <is>
          <t>A direct query, visual inspection, or local-folder audit would be needed to mark this check as independently verified.</t>
        </is>
      </c>
      <c r="C8" s="32" t="n"/>
      <c r="D8" s="32" t="n"/>
      <c r="E8" s="32" t="n"/>
    </row>
    <row r="9" ht="34" customHeight="1">
      <c r="A9" s="30" t="inlineStr">
        <is>
          <t>Status: Documentation expectation</t>
        </is>
      </c>
      <c r="B9" s="31" t="inlineStr">
        <is>
          <t>A design/communication expectation rather than a claim about observed system behavior.</t>
        </is>
      </c>
      <c r="C9" s="32" t="n"/>
      <c r="D9" s="32" t="n"/>
      <c r="E9" s="32" t="n"/>
    </row>
    <row r="10" ht="34" customHeight="1">
      <c r="A10" s="30" t="inlineStr">
        <is>
          <t>Scope</t>
        </is>
      </c>
      <c r="B10" s="31" t="inlineStr">
        <is>
          <t>Dataset: NYC Yellow Taxi, February 2026. Main pipeline: analytics_yellow_taxi → analytics_yellow_taxi_cleaned → analytics_yellow_taxi_final → analytics_yellow_taxi_business.</t>
        </is>
      </c>
      <c r="C10" s="32" t="n"/>
      <c r="D10" s="32" t="n"/>
      <c r="E10" s="32" t="n"/>
    </row>
    <row r="11" ht="34" customHeight="1">
      <c r="A11" s="30" t="inlineStr">
        <is>
          <t>Interpretation</t>
        </is>
      </c>
      <c r="B11" s="31" t="inlineStr">
        <is>
          <t>Row-count reductions are reconciliation differences, not automatically errors or invalid trips. Each reduction should be interpreted alongside the documented transformation rule.</t>
        </is>
      </c>
      <c r="C11" s="32" t="n"/>
      <c r="D11" s="32" t="n"/>
      <c r="E11" s="32" t="n"/>
    </row>
    <row r="12" ht="44" customHeight="1">
      <c r="A12" s="30" t="inlineStr">
        <is>
          <t>Known caveats</t>
        </is>
      </c>
      <c r="B12" s="31" t="inlineStr">
        <is>
          <t>The business table contains 27 of 28 February dates based on project documentation; February 23 is absent. The cause is not established by the evidence summarized here.</t>
        </is>
      </c>
      <c r="C12" s="32" t="n"/>
      <c r="D12" s="32" t="n"/>
      <c r="E12" s="32" t="n"/>
    </row>
    <row r="13" ht="34" customHeight="1">
      <c r="A13" s="30" t="inlineStr">
        <is>
          <t>How to use</t>
        </is>
      </c>
      <c r="B13" s="31" t="inlineStr">
        <is>
          <t>Start with Test Summary, review individual cases in Test Cases, inspect Evidence Log, and use Data Reconciliation to follow stage counts and differences.</t>
        </is>
      </c>
      <c r="C13" s="32" t="n"/>
      <c r="D13" s="32" t="n"/>
      <c r="E13" s="32" t="n"/>
    </row>
  </sheetData>
  <mergeCells count="12">
    <mergeCell ref="B9:E9"/>
    <mergeCell ref="B8:E8"/>
    <mergeCell ref="B4:E4"/>
    <mergeCell ref="A2:E2"/>
    <mergeCell ref="B12:E12"/>
    <mergeCell ref="B13:E13"/>
    <mergeCell ref="B6:E6"/>
    <mergeCell ref="B7:E7"/>
    <mergeCell ref="A1:E1"/>
    <mergeCell ref="B11:E11"/>
    <mergeCell ref="B5:E5"/>
    <mergeCell ref="B10:E10"/>
  </mergeCells>
  <pageMargins left="0.25" right="0.25" top="0.5" bottom="0.5" header="0.5" footer="0.5"/>
  <pageSetup fitToHeight="0" fitToWidth="1"/>
</worksheet>
</file>

<file path=xl/worksheets/sheet2.xml><?xml version="1.0" encoding="utf-8"?>
<worksheet xmlns="http://schemas.openxmlformats.org/spreadsheetml/2006/main">
  <sheetPr>
    <tabColor rgb="00142B4A"/>
    <outlinePr summaryBelow="1" summaryRight="1"/>
    <pageSetUpPr fitToPage="1"/>
  </sheetPr>
  <dimension ref="A1:E17"/>
  <sheetViews>
    <sheetView showGridLines="0" zoomScale="90" workbookViewId="0">
      <selection pane="bottomLeft" activeCell="A1" sqref="A1"/>
    </sheetView>
  </sheetViews>
  <sheetFormatPr baseColWidth="8" defaultRowHeight="15"/>
  <cols>
    <col width="30" customWidth="1" min="1" max="1"/>
    <col width="92" customWidth="1" min="2" max="2"/>
    <col width="16" customWidth="1" min="3" max="3"/>
    <col width="16" customWidth="1" min="4" max="4"/>
    <col width="16" customWidth="1" min="5" max="5"/>
  </cols>
  <sheetData>
    <row r="1" ht="34" customHeight="1">
      <c r="A1" s="27" t="inlineStr">
        <is>
          <t>Test Summary</t>
        </is>
      </c>
    </row>
    <row r="2" ht="28" customHeight="1">
      <c r="A2" s="28" t="inlineStr">
        <is>
          <t>A compact view of test coverage and evidence status.</t>
        </is>
      </c>
    </row>
    <row r="3" ht="26" customHeight="1">
      <c r="A3" s="29" t="n"/>
      <c r="B3" s="29" t="n"/>
      <c r="C3" s="29" t="n"/>
      <c r="D3" s="29" t="n"/>
      <c r="E3" s="29" t="n"/>
    </row>
    <row r="4" ht="26" customHeight="1">
      <c r="A4" s="30" t="inlineStr">
        <is>
          <t>Project</t>
        </is>
      </c>
      <c r="B4" s="33" t="inlineStr">
        <is>
          <t>NYC Yellow Taxi Analytics — February 2026</t>
        </is>
      </c>
      <c r="C4" s="32" t="n"/>
      <c r="D4" s="32" t="n"/>
      <c r="E4" s="32" t="n"/>
    </row>
    <row r="5" ht="26" customHeight="1">
      <c r="A5" s="30" t="inlineStr">
        <is>
          <t>Test cases tracked</t>
        </is>
      </c>
      <c r="B5" s="33" t="n">
        <v>22</v>
      </c>
      <c r="C5" s="32" t="n"/>
      <c r="D5" s="32" t="n"/>
      <c r="E5" s="32" t="n"/>
    </row>
    <row r="6" ht="26" customHeight="1">
      <c r="A6" s="30" t="inlineStr">
        <is>
          <t>Confirmed by user</t>
        </is>
      </c>
      <c r="B6" s="33" t="n">
        <v>5</v>
      </c>
      <c r="C6" s="32" t="n"/>
      <c r="D6" s="32" t="n"/>
      <c r="E6" s="32" t="n"/>
    </row>
    <row r="7" ht="26" customHeight="1">
      <c r="A7" s="30" t="inlineStr">
        <is>
          <t>Documented (not independently re-executed)</t>
        </is>
      </c>
      <c r="B7" s="33" t="n">
        <v>12</v>
      </c>
      <c r="C7" s="32" t="n"/>
      <c r="D7" s="32" t="n"/>
      <c r="E7" s="32" t="n"/>
    </row>
    <row r="8" ht="26" customHeight="1">
      <c r="A8" s="30" t="inlineStr">
        <is>
          <t>Documentation expectation</t>
        </is>
      </c>
      <c r="B8" s="33" t="n">
        <v>1</v>
      </c>
      <c r="C8" s="32" t="n"/>
      <c r="D8" s="32" t="n"/>
      <c r="E8" s="32" t="n"/>
    </row>
    <row r="9" ht="26" customHeight="1">
      <c r="A9" s="30" t="inlineStr">
        <is>
          <t>Pending verification</t>
        </is>
      </c>
      <c r="B9" s="33" t="n">
        <v>4</v>
      </c>
      <c r="C9" s="32" t="n"/>
      <c r="D9" s="32" t="n"/>
      <c r="E9" s="32" t="n"/>
    </row>
    <row r="10" ht="54" customHeight="1">
      <c r="A10" s="34" t="inlineStr">
        <is>
          <t>Overall assessment</t>
        </is>
      </c>
      <c r="B10" s="35" t="inlineStr">
        <is>
          <t>Core pipeline counts and the February 23 exclusion are user-confirmed. Other checks are documented or pending direct evidence; this is not a claim of independent end-to-end execution.</t>
        </is>
      </c>
      <c r="C10" s="32" t="n"/>
      <c r="D10" s="32" t="n"/>
      <c r="E10" s="32" t="n"/>
    </row>
    <row r="11" ht="26" customHeight="1">
      <c r="A11" s="29" t="n"/>
      <c r="B11" s="29" t="n"/>
      <c r="C11" s="29" t="n"/>
      <c r="D11" s="29" t="n"/>
      <c r="E11" s="29" t="n"/>
    </row>
    <row r="12" ht="26" customHeight="1">
      <c r="A12" s="29" t="n"/>
      <c r="B12" s="29" t="n"/>
      <c r="C12" s="29" t="n"/>
      <c r="D12" s="29" t="n"/>
      <c r="E12" s="29" t="n"/>
    </row>
    <row r="13" ht="26" customHeight="1">
      <c r="A13" s="30" t="inlineStr">
        <is>
          <t>Status legend</t>
        </is>
      </c>
      <c r="B13" s="29" t="n"/>
      <c r="C13" s="29" t="n"/>
      <c r="D13" s="29" t="n"/>
      <c r="E13" s="29" t="n"/>
    </row>
    <row r="14" ht="26" customHeight="1">
      <c r="A14" s="30" t="inlineStr">
        <is>
          <t>Confirmed by user</t>
        </is>
      </c>
      <c r="B14" s="33" t="inlineStr">
        <is>
          <t>The user reported the result directly.</t>
        </is>
      </c>
      <c r="C14" s="29" t="n"/>
      <c r="D14" s="29" t="n"/>
      <c r="E14" s="29" t="n"/>
    </row>
    <row r="15" ht="26" customHeight="1">
      <c r="A15" s="30" t="inlineStr">
        <is>
          <t>Documented</t>
        </is>
      </c>
      <c r="B15" s="33" t="inlineStr">
        <is>
          <t>Recorded in existing project documentation; not independently re-run here.</t>
        </is>
      </c>
      <c r="C15" s="29" t="n"/>
      <c r="D15" s="29" t="n"/>
      <c r="E15" s="29" t="n"/>
    </row>
    <row r="16" ht="26" customHeight="1">
      <c r="A16" s="30" t="inlineStr">
        <is>
          <t>Documentation expectation</t>
        </is>
      </c>
      <c r="B16" s="33" t="inlineStr">
        <is>
          <t>A required interpretation or labeling expectation.</t>
        </is>
      </c>
      <c r="C16" s="29" t="n"/>
      <c r="D16" s="29" t="n"/>
      <c r="E16" s="29" t="n"/>
    </row>
    <row r="17" ht="26" customHeight="1">
      <c r="A17" s="30" t="inlineStr">
        <is>
          <t>Pending verification</t>
        </is>
      </c>
      <c r="B17" s="33" t="inlineStr">
        <is>
          <t>Requires direct SQL, PBIX, or local-file evidence.</t>
        </is>
      </c>
      <c r="C17" s="29" t="n"/>
      <c r="D17" s="29" t="n"/>
      <c r="E17" s="29" t="n"/>
    </row>
  </sheetData>
  <mergeCells count="13">
    <mergeCell ref="B17:E17"/>
    <mergeCell ref="B9:E9"/>
    <mergeCell ref="B8:E8"/>
    <mergeCell ref="B4:E4"/>
    <mergeCell ref="A2:E2"/>
    <mergeCell ref="B6:E6"/>
    <mergeCell ref="B16:E16"/>
    <mergeCell ref="B15:E15"/>
    <mergeCell ref="B7:E7"/>
    <mergeCell ref="A1:E1"/>
    <mergeCell ref="B5:E5"/>
    <mergeCell ref="B10:E10"/>
    <mergeCell ref="B14:E14"/>
  </mergeCells>
  <pageMargins left="0.25" right="0.25" top="0.5" bottom="0.5" header="0.5" footer="0.5"/>
  <pageSetup fitToHeight="0" fitToWidth="1"/>
</worksheet>
</file>

<file path=xl/worksheets/sheet3.xml><?xml version="1.0" encoding="utf-8"?>
<worksheet xmlns="http://schemas.openxmlformats.org/spreadsheetml/2006/main">
  <sheetPr>
    <tabColor rgb="001AA6A6"/>
    <outlinePr summaryBelow="1" summaryRight="1"/>
    <pageSetUpPr fitToPage="1"/>
  </sheetPr>
  <dimension ref="A1:G26"/>
  <sheetViews>
    <sheetView showGridLines="0" zoomScale="90" workbookViewId="0">
      <pane ySplit="4" topLeftCell="A5" activePane="bottomLeft" state="frozen"/>
      <selection pane="bottomLeft" activeCell="A1" sqref="A1"/>
    </sheetView>
  </sheetViews>
  <sheetFormatPr baseColWidth="8" defaultRowHeight="15"/>
  <cols>
    <col width="13" customWidth="1" min="1" max="1"/>
    <col width="22" customWidth="1" min="2" max="2"/>
    <col width="42" customWidth="1" min="3" max="3"/>
    <col width="44" customWidth="1" min="4" max="4"/>
    <col width="25" customWidth="1" min="5" max="5"/>
    <col width="42" customWidth="1" min="6" max="6"/>
    <col width="46" customWidth="1" min="7" max="7"/>
  </cols>
  <sheetData>
    <row r="1" ht="34" customHeight="1">
      <c r="A1" s="27" t="inlineStr">
        <is>
          <t>Test Cases &amp; Validation Register</t>
        </is>
      </c>
    </row>
    <row r="2" ht="28" customHeight="1">
      <c r="A2" s="28" t="inlineStr">
        <is>
          <t>Expected results and evidence status; statuses describe evidence available for this report, not a fresh automated test run.</t>
        </is>
      </c>
    </row>
    <row r="3" ht="28" customHeight="1">
      <c r="A3" s="29" t="n"/>
      <c r="B3" s="29" t="n"/>
      <c r="C3" s="29" t="n"/>
      <c r="D3" s="29" t="n"/>
      <c r="E3" s="29" t="n"/>
      <c r="F3" s="29" t="n"/>
      <c r="G3" s="29" t="n"/>
    </row>
    <row r="4" ht="28" customHeight="1">
      <c r="A4" s="36" t="inlineStr">
        <is>
          <t>Test ID</t>
        </is>
      </c>
      <c r="B4" s="36" t="inlineStr">
        <is>
          <t>Area</t>
        </is>
      </c>
      <c r="C4" s="36" t="inlineStr">
        <is>
          <t>Test / validation objective</t>
        </is>
      </c>
      <c r="D4" s="36" t="inlineStr">
        <is>
          <t>Expected result / acceptance criteria</t>
        </is>
      </c>
      <c r="E4" s="36" t="inlineStr">
        <is>
          <t>Status</t>
        </is>
      </c>
      <c r="F4" s="36" t="inlineStr">
        <is>
          <t>Evidence / source</t>
        </is>
      </c>
      <c r="G4" s="36" t="inlineStr">
        <is>
          <t>Notes / limitation</t>
        </is>
      </c>
    </row>
    <row r="5" ht="28" customHeight="1">
      <c r="A5" s="31" t="inlineStr">
        <is>
          <t>TC-001</t>
        </is>
      </c>
      <c r="B5" s="31" t="inlineStr">
        <is>
          <t>Pipeline counts</t>
        </is>
      </c>
      <c r="C5" s="31" t="inlineStr">
        <is>
          <t>Validate source-stage row count</t>
        </is>
      </c>
      <c r="D5" s="31" t="inlineStr">
        <is>
          <t>3,399,850 rows</t>
        </is>
      </c>
      <c r="E5" s="37" t="inlineStr">
        <is>
          <t>Confirmed by user</t>
        </is>
      </c>
      <c r="F5" s="31" t="inlineStr">
        <is>
          <t>User confirmation recorded in project context</t>
        </is>
      </c>
      <c r="G5" s="31" t="inlineStr">
        <is>
          <t>No SQL execution log attached to this workbook.</t>
        </is>
      </c>
    </row>
    <row r="6" ht="28" customHeight="1">
      <c r="A6" s="38" t="inlineStr">
        <is>
          <t>TC-002</t>
        </is>
      </c>
      <c r="B6" s="38" t="inlineStr">
        <is>
          <t>Pipeline counts</t>
        </is>
      </c>
      <c r="C6" s="38" t="inlineStr">
        <is>
          <t>Validate cleaned-stage row count</t>
        </is>
      </c>
      <c r="D6" s="38" t="inlineStr">
        <is>
          <t>3,359,607 rows</t>
        </is>
      </c>
      <c r="E6" s="37" t="inlineStr">
        <is>
          <t>Confirmed by user</t>
        </is>
      </c>
      <c r="F6" s="38" t="inlineStr">
        <is>
          <t>User confirmation recorded in project context</t>
        </is>
      </c>
      <c r="G6" s="38" t="inlineStr">
        <is>
          <t>Difference from source: 40,243 rows.</t>
        </is>
      </c>
    </row>
    <row r="7" ht="28" customHeight="1">
      <c r="A7" s="31" t="inlineStr">
        <is>
          <t>TC-003</t>
        </is>
      </c>
      <c r="B7" s="31" t="inlineStr">
        <is>
          <t>Pipeline counts</t>
        </is>
      </c>
      <c r="C7" s="31" t="inlineStr">
        <is>
          <t>Validate final-stage row count</t>
        </is>
      </c>
      <c r="D7" s="31" t="inlineStr">
        <is>
          <t>3,355,645 rows</t>
        </is>
      </c>
      <c r="E7" s="37" t="inlineStr">
        <is>
          <t>Confirmed by user</t>
        </is>
      </c>
      <c r="F7" s="31" t="inlineStr">
        <is>
          <t>User confirmation recorded in project context</t>
        </is>
      </c>
      <c r="G7" s="31" t="inlineStr">
        <is>
          <t>Difference from cleaned stage: 3,962 rows.</t>
        </is>
      </c>
    </row>
    <row r="8" ht="28" customHeight="1">
      <c r="A8" s="38" t="inlineStr">
        <is>
          <t>TC-004</t>
        </is>
      </c>
      <c r="B8" s="38" t="inlineStr">
        <is>
          <t>Pipeline counts</t>
        </is>
      </c>
      <c r="C8" s="38" t="inlineStr">
        <is>
          <t>Validate business-stage row count</t>
        </is>
      </c>
      <c r="D8" s="38" t="inlineStr">
        <is>
          <t>3,329,782 rows</t>
        </is>
      </c>
      <c r="E8" s="37" t="inlineStr">
        <is>
          <t>Confirmed by user</t>
        </is>
      </c>
      <c r="F8" s="38" t="inlineStr">
        <is>
          <t>User confirmation recorded in project context</t>
        </is>
      </c>
      <c r="G8" s="38" t="inlineStr">
        <is>
          <t>Difference from final stage: 25,863 rows.</t>
        </is>
      </c>
    </row>
    <row r="9" ht="30" customHeight="1">
      <c r="A9" s="31" t="inlineStr">
        <is>
          <t>TC-005</t>
        </is>
      </c>
      <c r="B9" s="31" t="inlineStr">
        <is>
          <t>Date coverage</t>
        </is>
      </c>
      <c r="C9" s="31" t="inlineStr">
        <is>
          <t>Check business table for February 23, 2026</t>
        </is>
      </c>
      <c r="D9" s="31" t="inlineStr">
        <is>
          <t>Zero rows for February 23 in analytics_yellow_taxi_business</t>
        </is>
      </c>
      <c r="E9" s="37" t="inlineStr">
        <is>
          <t>Confirmed by user</t>
        </is>
      </c>
      <c r="F9" s="31" t="inlineStr">
        <is>
          <t>User reported query returned zero rows</t>
        </is>
      </c>
      <c r="G9" s="31" t="inlineStr">
        <is>
          <t>Absence is confirmed; reason for absence is not proven.</t>
        </is>
      </c>
    </row>
    <row r="10" ht="30" customHeight="1">
      <c r="A10" s="38" t="inlineStr">
        <is>
          <t>TC-006</t>
        </is>
      </c>
      <c r="B10" s="38" t="inlineStr">
        <is>
          <t>Date coverage</t>
        </is>
      </c>
      <c r="C10" s="38" t="inlineStr">
        <is>
          <t>Check distinct business dates represented</t>
        </is>
      </c>
      <c r="D10" s="38" t="inlineStr">
        <is>
          <t>27 of 28 February dates represented, per project documentation</t>
        </is>
      </c>
      <c r="E10" s="39" t="inlineStr">
        <is>
          <t>Documented</t>
        </is>
      </c>
      <c r="F10" s="38" t="inlineStr">
        <is>
          <t>Data Quality Assessment / project notes</t>
        </is>
      </c>
      <c r="G10" s="38" t="inlineStr">
        <is>
          <t>A direct distinct-date query output is not attached.</t>
        </is>
      </c>
    </row>
    <row r="11" ht="30" customHeight="1">
      <c r="A11" s="31" t="inlineStr">
        <is>
          <t>TC-007</t>
        </is>
      </c>
      <c r="B11" s="31" t="inlineStr">
        <is>
          <t>Date coverage</t>
        </is>
      </c>
      <c r="C11" s="31" t="inlineStr">
        <is>
          <t>Compare raw row counts around February 23</t>
        </is>
      </c>
      <c r="D11" s="31" t="inlineStr">
        <is>
          <t>Feb 22: 85,555; Feb 23: 26,019; Feb 24: 104,315, per documented notes</t>
        </is>
      </c>
      <c r="E11" s="39" t="inlineStr">
        <is>
          <t>Documented</t>
        </is>
      </c>
      <c r="F11" s="31" t="inlineStr">
        <is>
          <t>Project data-quality notes</t>
        </is>
      </c>
      <c r="G11" s="31" t="inlineStr">
        <is>
          <t>Pattern suggests a coverage anomaly; it does not establish cause.</t>
        </is>
      </c>
    </row>
    <row r="12" ht="30" customHeight="1">
      <c r="A12" s="38" t="inlineStr">
        <is>
          <t>TC-008</t>
        </is>
      </c>
      <c r="B12" s="38" t="inlineStr">
        <is>
          <t>Cleaning rule</t>
        </is>
      </c>
      <c r="C12" s="38" t="inlineStr">
        <is>
          <t>Review Vendor 7 identical-timestamp rule</t>
        </is>
      </c>
      <c r="D12" s="38" t="inlineStr">
        <is>
          <t>40,241 records associated with documented rule</t>
        </is>
      </c>
      <c r="E12" s="39" t="inlineStr">
        <is>
          <t>Documented</t>
        </is>
      </c>
      <c r="F12" s="38" t="inlineStr">
        <is>
          <t>Project data-quality notes</t>
        </is>
      </c>
      <c r="G12" s="38" t="inlineStr">
        <is>
          <t>Timestamp equality alone does not prove a duplicate; exact SQL predicate not reviewed here.</t>
        </is>
      </c>
    </row>
    <row r="13" ht="30" customHeight="1">
      <c r="A13" s="31" t="inlineStr">
        <is>
          <t>TC-009</t>
        </is>
      </c>
      <c r="B13" s="31" t="inlineStr">
        <is>
          <t>Cleaning rule</t>
        </is>
      </c>
      <c r="C13" s="31" t="inlineStr">
        <is>
          <t>Review negative-duration handling</t>
        </is>
      </c>
      <c r="D13" s="31" t="inlineStr">
        <is>
          <t>2 records documented as negative duration</t>
        </is>
      </c>
      <c r="E13" s="39" t="inlineStr">
        <is>
          <t>Documented</t>
        </is>
      </c>
      <c r="F13" s="31" t="inlineStr">
        <is>
          <t>Project data-quality notes</t>
        </is>
      </c>
      <c r="G13" s="31" t="inlineStr">
        <is>
          <t>Exact duration calculation and SQL predicate not independently reviewed.</t>
        </is>
      </c>
    </row>
    <row r="14" ht="30" customHeight="1">
      <c r="A14" s="38" t="inlineStr">
        <is>
          <t>TC-010</t>
        </is>
      </c>
      <c r="B14" s="38" t="inlineStr">
        <is>
          <t>Cleaning rule</t>
        </is>
      </c>
      <c r="C14" s="38" t="inlineStr">
        <is>
          <t>Review long-trip duration cutoff</t>
        </is>
      </c>
      <c r="D14" s="38" t="inlineStr">
        <is>
          <t>3,962 trips over 120 minutes documented</t>
        </is>
      </c>
      <c r="E14" s="39" t="inlineStr">
        <is>
          <t>Documented</t>
        </is>
      </c>
      <c r="F14" s="38" t="inlineStr">
        <is>
          <t>Project data-quality notes</t>
        </is>
      </c>
      <c r="G14" s="38" t="inlineStr">
        <is>
          <t>120 minutes is a project-defined threshold, not asserted as a universal TLC rule.</t>
        </is>
      </c>
    </row>
    <row r="15" ht="30" customHeight="1">
      <c r="A15" s="31" t="inlineStr">
        <is>
          <t>TC-011</t>
        </is>
      </c>
      <c r="B15" s="31" t="inlineStr">
        <is>
          <t>KPI reconciliation</t>
        </is>
      </c>
      <c r="C15" s="31" t="inlineStr">
        <is>
          <t>Validate total amount</t>
        </is>
      </c>
      <c r="D15" s="31" t="inlineStr">
        <is>
          <t>SUM(total_amount) = $100,340,136.16</t>
        </is>
      </c>
      <c r="E15" s="39" t="inlineStr">
        <is>
          <t>Documented</t>
        </is>
      </c>
      <c r="F15" s="31" t="inlineStr">
        <is>
          <t>Documented KPI results</t>
        </is>
      </c>
      <c r="G15" s="31" t="inlineStr">
        <is>
          <t>Independent recalculation from SQL output not attached.</t>
        </is>
      </c>
    </row>
    <row r="16" ht="28" customHeight="1">
      <c r="A16" s="38" t="inlineStr">
        <is>
          <t>TC-012</t>
        </is>
      </c>
      <c r="B16" s="38" t="inlineStr">
        <is>
          <t>KPI reconciliation</t>
        </is>
      </c>
      <c r="C16" s="38" t="inlineStr">
        <is>
          <t>Validate average total amount</t>
        </is>
      </c>
      <c r="D16" s="38" t="inlineStr">
        <is>
          <t>AVG(total_amount) = $30.13</t>
        </is>
      </c>
      <c r="E16" s="39" t="inlineStr">
        <is>
          <t>Documented</t>
        </is>
      </c>
      <c r="F16" s="38" t="inlineStr">
        <is>
          <t>Documented KPI results</t>
        </is>
      </c>
      <c r="G16" s="38" t="inlineStr">
        <is>
          <t>Rounding shown to 2 decimal places.</t>
        </is>
      </c>
    </row>
    <row r="17" ht="28" customHeight="1">
      <c r="A17" s="31" t="inlineStr">
        <is>
          <t>TC-013</t>
        </is>
      </c>
      <c r="B17" s="31" t="inlineStr">
        <is>
          <t>KPI reconciliation</t>
        </is>
      </c>
      <c r="C17" s="31" t="inlineStr">
        <is>
          <t>Validate aggregate amount per mile</t>
        </is>
      </c>
      <c r="D17" s="31" t="inlineStr">
        <is>
          <t>SUM(total_amount) / SUM(trip_distance) ≈ $4.78</t>
        </is>
      </c>
      <c r="E17" s="39" t="inlineStr">
        <is>
          <t>Documented</t>
        </is>
      </c>
      <c r="F17" s="31" t="inlineStr">
        <is>
          <t>Documented KPI results and formula</t>
        </is>
      </c>
      <c r="G17" s="31" t="inlineStr">
        <is>
          <t>Aggregate ratio, not average of per-trip ratios.</t>
        </is>
      </c>
    </row>
    <row r="18" ht="30" customHeight="1">
      <c r="A18" s="38" t="inlineStr">
        <is>
          <t>TC-014</t>
        </is>
      </c>
      <c r="B18" s="38" t="inlineStr">
        <is>
          <t>KPI reconciliation</t>
        </is>
      </c>
      <c r="C18" s="38" t="inlineStr">
        <is>
          <t>Validate average trip duration</t>
        </is>
      </c>
      <c r="D18" s="38" t="inlineStr">
        <is>
          <t>17.64 minutes</t>
        </is>
      </c>
      <c r="E18" s="39" t="inlineStr">
        <is>
          <t>Documented</t>
        </is>
      </c>
      <c r="F18" s="38" t="inlineStr">
        <is>
          <t>Documented KPI results</t>
        </is>
      </c>
      <c r="G18" s="38" t="inlineStr">
        <is>
          <t>Exact duration field/formula not independently inspected here.</t>
        </is>
      </c>
    </row>
    <row r="19" ht="30" customHeight="1">
      <c r="A19" s="31" t="inlineStr">
        <is>
          <t>TC-015</t>
        </is>
      </c>
      <c r="B19" s="31" t="inlineStr">
        <is>
          <t>Location KPI</t>
        </is>
      </c>
      <c r="C19" s="31" t="inlineStr">
        <is>
          <t>Validate JFK + LaGuardia pickup-zone revenue</t>
        </is>
      </c>
      <c r="D19" s="31" t="inlineStr">
        <is>
          <t>Approximately $14.33 million</t>
        </is>
      </c>
      <c r="E19" s="39" t="inlineStr">
        <is>
          <t>Documented</t>
        </is>
      </c>
      <c r="F19" s="31" t="inlineStr">
        <is>
          <t>Documented KPI results</t>
        </is>
      </c>
      <c r="G19" s="31" t="inlineStr">
        <is>
          <t>Pickup-zone revenue only; do not describe as all airport-related activity.</t>
        </is>
      </c>
    </row>
    <row r="20" ht="28" customHeight="1">
      <c r="A20" s="38" t="inlineStr">
        <is>
          <t>TC-016</t>
        </is>
      </c>
      <c r="B20" s="38" t="inlineStr">
        <is>
          <t>Route analysis</t>
        </is>
      </c>
      <c r="C20" s="38" t="inlineStr">
        <is>
          <t>Validate high-imbalance route count</t>
        </is>
      </c>
      <c r="D20" s="38" t="inlineStr">
        <is>
          <t>14 rows where imbalance_pct &gt;= 50</t>
        </is>
      </c>
      <c r="E20" s="39" t="inlineStr">
        <is>
          <t>Documented</t>
        </is>
      </c>
      <c r="F20" s="38" t="inlineStr">
        <is>
          <t>Documented route analysis result</t>
        </is>
      </c>
      <c r="G20" s="38" t="inlineStr">
        <is>
          <t>Exact route table/query output not attached.</t>
        </is>
      </c>
    </row>
    <row r="21" ht="30" customHeight="1">
      <c r="A21" s="31" t="inlineStr">
        <is>
          <t>TC-017</t>
        </is>
      </c>
      <c r="B21" s="31" t="inlineStr">
        <is>
          <t>Route analysis</t>
        </is>
      </c>
      <c r="C21" s="31" t="inlineStr">
        <is>
          <t>Interpret absolute revenue difference correctly</t>
        </is>
      </c>
      <c r="D21" s="31" t="inlineStr">
        <is>
          <t>SUM(ABS(revenue_difference)) ≈ $3.51 million</t>
        </is>
      </c>
      <c r="E21" s="39" t="inlineStr">
        <is>
          <t>Documented</t>
        </is>
      </c>
      <c r="F21" s="31" t="inlineStr">
        <is>
          <t>Documented route analysis result</t>
        </is>
      </c>
      <c r="G21" s="31" t="inlineStr">
        <is>
          <t>Gross absolute magnitude; not recoverable revenue, profit, or guaranteed opportunity.</t>
        </is>
      </c>
    </row>
    <row r="22" ht="30" customHeight="1">
      <c r="A22" s="38" t="inlineStr">
        <is>
          <t>TC-018</t>
        </is>
      </c>
      <c r="B22" s="38" t="inlineStr">
        <is>
          <t>Scenario analysis</t>
        </is>
      </c>
      <c r="C22" s="38" t="inlineStr">
        <is>
          <t>Ensure scenario uplifts are clearly framed</t>
        </is>
      </c>
      <c r="D22" s="38" t="inlineStr">
        <is>
          <t>1%, 2%, 3%, 5% are illustrative scenarios, not forecasts</t>
        </is>
      </c>
      <c r="E22" s="40" t="inlineStr">
        <is>
          <t>Documentation expectation</t>
        </is>
      </c>
      <c r="F22" s="38" t="inlineStr">
        <is>
          <t>Project documentation requirements</t>
        </is>
      </c>
      <c r="G22" s="38" t="inlineStr">
        <is>
          <t>Confirm labels in the final dashboard before publication.</t>
        </is>
      </c>
    </row>
    <row r="23" ht="30" customHeight="1">
      <c r="A23" s="31" t="inlineStr">
        <is>
          <t>TC-019</t>
        </is>
      </c>
      <c r="B23" s="31" t="inlineStr">
        <is>
          <t>Power BI / SQL</t>
        </is>
      </c>
      <c r="C23" s="31" t="inlineStr">
        <is>
          <t>Cross-check dashboard KPI cards against SQL results</t>
        </is>
      </c>
      <c r="D23" s="31" t="inlineStr">
        <is>
          <t>Displayed KPI values match approved SQL results and definitions</t>
        </is>
      </c>
      <c r="E23" s="41" t="inlineStr">
        <is>
          <t>Pending verification</t>
        </is>
      </c>
      <c r="F23" s="31" t="inlineStr">
        <is>
          <t>Requires PBIX/dashboard and SQL result evidence</t>
        </is>
      </c>
      <c r="G23" s="31" t="inlineStr">
        <is>
          <t>Power BI report was not independently inspected for this workbook.</t>
        </is>
      </c>
    </row>
    <row r="24" ht="45" customHeight="1">
      <c r="A24" s="38" t="inlineStr">
        <is>
          <t>TC-020</t>
        </is>
      </c>
      <c r="B24" s="38" t="inlineStr">
        <is>
          <t>Power BI pages</t>
        </is>
      </c>
      <c r="C24" s="38" t="inlineStr">
        <is>
          <t>Verify the six documented report pages exist</t>
        </is>
      </c>
      <c r="D24" s="38" t="inlineStr">
        <is>
          <t>Executive Dashboard; Executive Overview; Demand &amp; Time Intelligence; Location Intelligence; Route &amp; Airport Intelligence; Business Opportunities</t>
        </is>
      </c>
      <c r="E24" s="39" t="inlineStr">
        <is>
          <t>Documented</t>
        </is>
      </c>
      <c r="F24" s="38" t="inlineStr">
        <is>
          <t>Documented page inventory</t>
        </is>
      </c>
      <c r="G24" s="38" t="inlineStr">
        <is>
          <t>Actual PBIX page tabs were not inspected here.</t>
        </is>
      </c>
    </row>
    <row r="25" ht="30" customHeight="1">
      <c r="A25" s="31" t="inlineStr">
        <is>
          <t>TC-021</t>
        </is>
      </c>
      <c r="B25" s="31" t="inlineStr">
        <is>
          <t>Dashboard communication</t>
        </is>
      </c>
      <c r="C25" s="31" t="inlineStr">
        <is>
          <t>Verify date coverage caveat is visible and understandable</t>
        </is>
      </c>
      <c r="D25" s="31" t="inlineStr">
        <is>
          <t>Dashboard/report communicates February 23 absence and 27-of-28-day coverage</t>
        </is>
      </c>
      <c r="E25" s="41" t="inlineStr">
        <is>
          <t>Pending verification</t>
        </is>
      </c>
      <c r="F25" s="31" t="inlineStr">
        <is>
          <t>Requires visual inspection of report</t>
        </is>
      </c>
      <c r="G25" s="31" t="inlineStr">
        <is>
          <t>Do not imply the cause of the gap is known.</t>
        </is>
      </c>
    </row>
    <row r="26" ht="30" customHeight="1">
      <c r="A26" s="38" t="inlineStr">
        <is>
          <t>TC-022</t>
        </is>
      </c>
      <c r="B26" s="38" t="inlineStr">
        <is>
          <t>Project packaging</t>
        </is>
      </c>
      <c r="C26" s="38" t="inlineStr">
        <is>
          <t>Audit required deliverables and folder structure</t>
        </is>
      </c>
      <c r="D26" s="38" t="inlineStr">
        <is>
          <t>Expected documentation artifacts are present in the project folder</t>
        </is>
      </c>
      <c r="E26" s="41" t="inlineStr">
        <is>
          <t>Pending verification</t>
        </is>
      </c>
      <c r="F26" s="38" t="inlineStr">
        <is>
          <t>Requires local project-folder audit</t>
        </is>
      </c>
      <c r="G26" s="38" t="inlineStr">
        <is>
          <t>This workbook does not assert all deliverables are already in the user's local folder.</t>
        </is>
      </c>
    </row>
  </sheetData>
  <autoFilter ref="A4:G26"/>
  <mergeCells count="2">
    <mergeCell ref="A2:G2"/>
    <mergeCell ref="A1:G1"/>
  </mergeCells>
  <pageMargins left="0.25" right="0.25" top="0.5" bottom="0.5" header="0.5" footer="0.5"/>
  <pageSetup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tabColor rgb="00142B4A"/>
    <outlinePr summaryBelow="1" summaryRight="1"/>
    <pageSetUpPr fitToPage="1"/>
  </sheetPr>
  <dimension ref="A1:E14"/>
  <sheetViews>
    <sheetView showGridLines="0" zoomScale="90" workbookViewId="0">
      <pane ySplit="4" topLeftCell="A5" activePane="bottomLeft" state="frozen"/>
      <selection pane="bottomLeft" activeCell="A1" sqref="A1"/>
    </sheetView>
  </sheetViews>
  <sheetFormatPr baseColWidth="8" defaultRowHeight="15"/>
  <cols>
    <col width="14" customWidth="1" min="1" max="1"/>
    <col width="22" customWidth="1" min="2" max="2"/>
    <col width="46" customWidth="1" min="3" max="3"/>
    <col width="42" customWidth="1" min="4" max="4"/>
    <col width="48" customWidth="1" min="5" max="5"/>
  </cols>
  <sheetData>
    <row r="1" ht="34" customHeight="1">
      <c r="A1" s="27" t="inlineStr">
        <is>
          <t>Evidence Log</t>
        </is>
      </c>
    </row>
    <row r="2" ht="28" customHeight="1">
      <c r="A2" s="28" t="inlineStr">
        <is>
          <t>Traceability for key assertions and explicit boundaries on what the evidence proves.</t>
        </is>
      </c>
    </row>
    <row r="3" ht="28" customHeight="1">
      <c r="A3" s="29" t="n"/>
      <c r="B3" s="29" t="n"/>
      <c r="C3" s="29" t="n"/>
      <c r="D3" s="29" t="n"/>
      <c r="E3" s="29" t="n"/>
    </row>
    <row r="4" ht="28" customHeight="1">
      <c r="A4" s="36" t="inlineStr">
        <is>
          <t>Evidence ID</t>
        </is>
      </c>
      <c r="B4" s="36" t="inlineStr">
        <is>
          <t>Evidence type</t>
        </is>
      </c>
      <c r="C4" s="36" t="inlineStr">
        <is>
          <t>Assertion / result supported</t>
        </is>
      </c>
      <c r="D4" s="36" t="inlineStr">
        <is>
          <t>Source / basis</t>
        </is>
      </c>
      <c r="E4" s="36" t="inlineStr">
        <is>
          <t>Confidence boundary</t>
        </is>
      </c>
    </row>
    <row r="5" ht="28" customHeight="1">
      <c r="A5" s="31" t="inlineStr">
        <is>
          <t>EV-001</t>
        </is>
      </c>
      <c r="B5" s="31" t="inlineStr">
        <is>
          <t>User confirmation</t>
        </is>
      </c>
      <c r="C5" s="31" t="inlineStr">
        <is>
          <t>analytics_yellow_taxi = 3,399,850 rows</t>
        </is>
      </c>
      <c r="D5" s="31" t="inlineStr">
        <is>
          <t>User-confirmed pipeline count</t>
        </is>
      </c>
      <c r="E5" s="31" t="inlineStr">
        <is>
          <t>Reported by user; no attached SQL result file.</t>
        </is>
      </c>
    </row>
    <row r="6" ht="28" customHeight="1">
      <c r="A6" s="38" t="inlineStr">
        <is>
          <t>EV-002</t>
        </is>
      </c>
      <c r="B6" s="38" t="inlineStr">
        <is>
          <t>User confirmation</t>
        </is>
      </c>
      <c r="C6" s="38" t="inlineStr">
        <is>
          <t>analytics_yellow_taxi_cleaned = 3,359,607 rows</t>
        </is>
      </c>
      <c r="D6" s="38" t="inlineStr">
        <is>
          <t>User-confirmed pipeline count</t>
        </is>
      </c>
      <c r="E6" s="38" t="inlineStr">
        <is>
          <t>Reported by user; no attached SQL result file.</t>
        </is>
      </c>
    </row>
    <row r="7" ht="28" customHeight="1">
      <c r="A7" s="31" t="inlineStr">
        <is>
          <t>EV-003</t>
        </is>
      </c>
      <c r="B7" s="31" t="inlineStr">
        <is>
          <t>User confirmation</t>
        </is>
      </c>
      <c r="C7" s="31" t="inlineStr">
        <is>
          <t>analytics_yellow_taxi_final = 3,355,645 rows</t>
        </is>
      </c>
      <c r="D7" s="31" t="inlineStr">
        <is>
          <t>User-confirmed pipeline count</t>
        </is>
      </c>
      <c r="E7" s="31" t="inlineStr">
        <is>
          <t>Reported by user; no attached SQL result file.</t>
        </is>
      </c>
    </row>
    <row r="8" ht="28" customHeight="1">
      <c r="A8" s="38" t="inlineStr">
        <is>
          <t>EV-004</t>
        </is>
      </c>
      <c r="B8" s="38" t="inlineStr">
        <is>
          <t>User confirmation</t>
        </is>
      </c>
      <c r="C8" s="38" t="inlineStr">
        <is>
          <t>analytics_yellow_taxi_business = 3,329,782 rows</t>
        </is>
      </c>
      <c r="D8" s="38" t="inlineStr">
        <is>
          <t>User-confirmed pipeline count</t>
        </is>
      </c>
      <c r="E8" s="38" t="inlineStr">
        <is>
          <t>Reported by user; no attached SQL result file.</t>
        </is>
      </c>
    </row>
    <row r="9" ht="30" customHeight="1">
      <c r="A9" s="31" t="inlineStr">
        <is>
          <t>EV-005</t>
        </is>
      </c>
      <c r="B9" s="31" t="inlineStr">
        <is>
          <t>User confirmation</t>
        </is>
      </c>
      <c r="C9" s="31" t="inlineStr">
        <is>
          <t>February 23 query against business table returned zero rows</t>
        </is>
      </c>
      <c r="D9" s="31" t="inlineStr">
        <is>
          <t>User-reported query result</t>
        </is>
      </c>
      <c r="E9" s="31" t="inlineStr">
        <is>
          <t>Confirms absence in that query; not why the date is absent.</t>
        </is>
      </c>
    </row>
    <row r="10" ht="30" customHeight="1">
      <c r="A10" s="38" t="inlineStr">
        <is>
          <t>EV-006</t>
        </is>
      </c>
      <c r="B10" s="38" t="inlineStr">
        <is>
          <t>Project documentation</t>
        </is>
      </c>
      <c r="C10" s="38" t="inlineStr">
        <is>
          <t>Data cleaning rules and stage reconciliation</t>
        </is>
      </c>
      <c r="D10" s="38" t="inlineStr">
        <is>
          <t>Existing project data-quality documentation / notes</t>
        </is>
      </c>
      <c r="E10" s="38" t="inlineStr">
        <is>
          <t>Predicates and source records were not re-executed or independently inspected for this workbook.</t>
        </is>
      </c>
    </row>
    <row r="11" ht="30" customHeight="1">
      <c r="A11" s="31" t="inlineStr">
        <is>
          <t>EV-007</t>
        </is>
      </c>
      <c r="B11" s="31" t="inlineStr">
        <is>
          <t>Project documentation</t>
        </is>
      </c>
      <c r="C11" s="31" t="inlineStr">
        <is>
          <t>KPI values, route-analysis counts, scenario definitions</t>
        </is>
      </c>
      <c r="D11" s="31" t="inlineStr">
        <is>
          <t>Existing project KPI and analysis notes</t>
        </is>
      </c>
      <c r="E11" s="39" t="inlineStr">
        <is>
          <t>Documented values; direct recalculation not represented.</t>
        </is>
      </c>
    </row>
    <row r="12" ht="28" customHeight="1">
      <c r="A12" s="38" t="inlineStr">
        <is>
          <t>EV-008</t>
        </is>
      </c>
      <c r="B12" s="38" t="inlineStr">
        <is>
          <t>Project documentation</t>
        </is>
      </c>
      <c r="C12" s="38" t="inlineStr">
        <is>
          <t>Six Power BI page names</t>
        </is>
      </c>
      <c r="D12" s="38" t="inlineStr">
        <is>
          <t>Documented dashboard inventory</t>
        </is>
      </c>
      <c r="E12" s="38" t="inlineStr">
        <is>
          <t>Report file itself not inspected.</t>
        </is>
      </c>
    </row>
    <row r="13" ht="30" customHeight="1">
      <c r="A13" s="31" t="inlineStr">
        <is>
          <t>EV-009</t>
        </is>
      </c>
      <c r="B13" s="31" t="inlineStr">
        <is>
          <t>Not yet supplied</t>
        </is>
      </c>
      <c r="C13" s="31" t="inlineStr">
        <is>
          <t>KPI agreement between Power BI visuals and SQL results</t>
        </is>
      </c>
      <c r="D13" s="31" t="inlineStr">
        <is>
          <t>Requires PBIX plus query outputs or screenshots</t>
        </is>
      </c>
      <c r="E13" s="41" t="inlineStr">
        <is>
          <t>Pending direct comparison.</t>
        </is>
      </c>
    </row>
    <row r="14" ht="30" customHeight="1">
      <c r="A14" s="38" t="inlineStr">
        <is>
          <t>EV-010</t>
        </is>
      </c>
      <c r="B14" s="38" t="inlineStr">
        <is>
          <t>Not yet supplied</t>
        </is>
      </c>
      <c r="C14" s="38" t="inlineStr">
        <is>
          <t>Final folder completeness and screenshot evidence</t>
        </is>
      </c>
      <c r="D14" s="38" t="inlineStr">
        <is>
          <t>Requires local folder audit and report screenshots</t>
        </is>
      </c>
      <c r="E14" s="41" t="inlineStr">
        <is>
          <t>Pending direct audit.</t>
        </is>
      </c>
    </row>
  </sheetData>
  <autoFilter ref="A4:E14"/>
  <mergeCells count="2">
    <mergeCell ref="A2:E2"/>
    <mergeCell ref="A1:E1"/>
  </mergeCells>
  <pageMargins left="0.25" right="0.25" top="0.5" bottom="0.5" header="0.5" footer="0.5"/>
  <pageSetup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tabColor rgb="001AA6A6"/>
    <outlinePr summaryBelow="1" summaryRight="1"/>
    <pageSetUpPr fitToPage="1"/>
  </sheetPr>
  <dimension ref="A1:F10"/>
  <sheetViews>
    <sheetView showGridLines="0" zoomScale="90" workbookViewId="0">
      <pane ySplit="4" topLeftCell="A5" activePane="bottomLeft" state="frozen"/>
      <selection pane="bottomLeft" activeCell="A1" sqref="A1"/>
    </sheetView>
  </sheetViews>
  <sheetFormatPr baseColWidth="8" defaultRowHeight="15"/>
  <cols>
    <col width="18" customWidth="1" min="1" max="1"/>
    <col width="38" customWidth="1" min="2" max="2"/>
    <col width="18" customWidth="1" min="3" max="3"/>
    <col width="22" customWidth="1" min="4" max="4"/>
    <col width="24" customWidth="1" min="5" max="5"/>
    <col width="62" customWidth="1" min="6" max="6"/>
  </cols>
  <sheetData>
    <row r="1" ht="34" customHeight="1">
      <c r="A1" s="27" t="inlineStr">
        <is>
          <t>Pipeline Data Reconciliation</t>
        </is>
      </c>
    </row>
    <row r="2" ht="28" customHeight="1">
      <c r="A2" s="28" t="inlineStr">
        <is>
          <t>Counts and differences from the documented February 2026 pipeline. Percentages are calculated in Excel.</t>
        </is>
      </c>
    </row>
    <row r="3" ht="28" customHeight="1">
      <c r="A3" s="29" t="n"/>
      <c r="B3" s="29" t="n"/>
      <c r="C3" s="29" t="n"/>
      <c r="D3" s="29" t="n"/>
      <c r="E3" s="29" t="n"/>
      <c r="F3" s="29" t="n"/>
    </row>
    <row r="4" ht="28" customHeight="1">
      <c r="A4" s="36" t="inlineStr">
        <is>
          <t>Stage</t>
        </is>
      </c>
      <c r="B4" s="36" t="inlineStr">
        <is>
          <t>Table</t>
        </is>
      </c>
      <c r="C4" s="36" t="inlineStr">
        <is>
          <t>Row count</t>
        </is>
      </c>
      <c r="D4" s="36" t="inlineStr">
        <is>
          <t>Reduction from prior stage</t>
        </is>
      </c>
      <c r="E4" s="36" t="inlineStr">
        <is>
          <t>Reduction % of prior stage</t>
        </is>
      </c>
      <c r="F4" s="36" t="inlineStr">
        <is>
          <t>Interpretation / documented note</t>
        </is>
      </c>
    </row>
    <row r="5" ht="28" customHeight="1">
      <c r="A5" s="31" t="inlineStr">
        <is>
          <t>Source</t>
        </is>
      </c>
      <c r="B5" s="31" t="inlineStr">
        <is>
          <t>analytics_yellow_taxi</t>
        </is>
      </c>
      <c r="C5" s="42" t="n">
        <v>3399850</v>
      </c>
      <c r="D5" s="42" t="n"/>
      <c r="E5" s="43" t="n"/>
      <c r="F5" s="31" t="inlineStr">
        <is>
          <t>Initial source-stage count.</t>
        </is>
      </c>
    </row>
    <row r="6" ht="30" customHeight="1">
      <c r="A6" s="38" t="inlineStr">
        <is>
          <t>Cleaned</t>
        </is>
      </c>
      <c r="B6" s="38" t="inlineStr">
        <is>
          <t>analytics_yellow_taxi_cleaned</t>
        </is>
      </c>
      <c r="C6" s="44" t="n">
        <v>3359607</v>
      </c>
      <c r="D6" s="44">
        <f>C5-C6</f>
        <v/>
      </c>
      <c r="E6" s="45">
        <f>D6/C5</f>
        <v/>
      </c>
      <c r="F6" s="38" t="inlineStr">
        <is>
          <t>40,243 fewer rows than source; do not assume every removed row was invalid.</t>
        </is>
      </c>
    </row>
    <row r="7" ht="30" customHeight="1">
      <c r="A7" s="31" t="inlineStr">
        <is>
          <t>Final</t>
        </is>
      </c>
      <c r="B7" s="31" t="inlineStr">
        <is>
          <t>analytics_yellow_taxi_final</t>
        </is>
      </c>
      <c r="C7" s="42" t="n">
        <v>3355645</v>
      </c>
      <c r="D7" s="42">
        <f>C6-C7</f>
        <v/>
      </c>
      <c r="E7" s="43">
        <f>D7/C6</f>
        <v/>
      </c>
      <c r="F7" s="31" t="inlineStr">
        <is>
          <t>3,962 fewer rows than cleaned stage; documented alongside &gt;120-minute duration rule.</t>
        </is>
      </c>
    </row>
    <row r="8" ht="45" customHeight="1">
      <c r="A8" s="38" t="inlineStr">
        <is>
          <t>Business</t>
        </is>
      </c>
      <c r="B8" s="38" t="inlineStr">
        <is>
          <t>analytics_yellow_taxi_business</t>
        </is>
      </c>
      <c r="C8" s="44" t="n">
        <v>3329782</v>
      </c>
      <c r="D8" s="44">
        <f>C7-C8</f>
        <v/>
      </c>
      <c r="E8" s="45">
        <f>D8/C7</f>
        <v/>
      </c>
      <c r="F8" s="38" t="inlineStr">
        <is>
          <t>25,863 fewer rows than final stage; February 23 absent from business table per user confirmation.</t>
        </is>
      </c>
    </row>
    <row r="9" ht="28" customHeight="1">
      <c r="A9" s="29" t="n"/>
      <c r="B9" s="29" t="n"/>
      <c r="C9" s="46" t="n"/>
      <c r="D9" s="46" t="n"/>
      <c r="E9" s="47" t="n"/>
      <c r="F9" s="29" t="n"/>
    </row>
    <row r="10" ht="28" customHeight="1">
      <c r="A10" s="38" t="inlineStr">
        <is>
          <t>Total reduction</t>
        </is>
      </c>
      <c r="B10" s="48" t="n"/>
      <c r="C10" s="44">
        <f>C5-C8</f>
        <v/>
      </c>
      <c r="D10" s="44">
        <f>C10/C5</f>
        <v/>
      </c>
      <c r="E10" s="45" t="inlineStr">
        <is>
          <t>Total reduction as a share of source</t>
        </is>
      </c>
      <c r="F10" s="49" t="n"/>
    </row>
  </sheetData>
  <mergeCells count="3">
    <mergeCell ref="A2:F2"/>
    <mergeCell ref="E10:F10"/>
    <mergeCell ref="A1:F1"/>
  </mergeCells>
  <pageMargins left="0.25" right="0.25" top="0.5" bottom="0.5"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NYC Yellow Taxi Analytics Project</dc:creator>
  <dc:title xmlns:dc="http://purl.org/dc/elements/1.1/">NYC Yellow Taxi Analytics — Testing and Validation Report</dc:title>
  <dc:description xmlns:dc="http://purl.org/dc/elements/1.1/">Professional validation workbook distinguishing user-confirmed results, documented checks, and pending verification.</dc:description>
  <dc:subject xmlns:dc="http://purl.org/dc/elements/1.1/">Pipeline reconciliation, test register, evidence log and validation boundaries</dc:subject>
  <dcterms:created xmlns:dcterms="http://purl.org/dc/terms/" xmlns:xsi="http://www.w3.org/2001/XMLSchema-instance" xsi:type="dcterms:W3CDTF">2026-10-25T14:42:06Z</dcterms:created>
  <dcterms:modified xmlns:dcterms="http://purl.org/dc/terms/" xmlns:xsi="http://www.w3.org/2001/XMLSchema-instance" xsi:type="dcterms:W3CDTF">2026-10-27T14:23:30Z</dcterms:modified>
</cp:coreProperties>
</file>